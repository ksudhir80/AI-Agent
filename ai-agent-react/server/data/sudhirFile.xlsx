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unnure\Downloads\"/>
    </mc:Choice>
  </mc:AlternateContent>
  <xr:revisionPtr revIDLastSave="0" documentId="13_ncr:1_{8E5111E9-51B2-4064-A7CB-8460E0BFC755}" xr6:coauthVersionLast="47" xr6:coauthVersionMax="47" xr10:uidLastSave="{00000000-0000-0000-0000-000000000000}"/>
  <bookViews>
    <workbookView xWindow="-110" yWindow="-110" windowWidth="19420" windowHeight="11500" xr2:uid="{E92588C8-F285-4648-84C2-78F470F5326B}"/>
  </bookViews>
  <sheets>
    <sheet name="Current Liabil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5" i="1" l="1"/>
  <c r="K45" i="1"/>
  <c r="H45" i="1"/>
  <c r="L45" i="1" s="1"/>
  <c r="L25" i="1"/>
  <c r="L31" i="1" s="1"/>
  <c r="H25" i="1"/>
  <c r="H23" i="1"/>
  <c r="F21" i="1"/>
  <c r="E21" i="1"/>
  <c r="F20" i="1"/>
  <c r="E20" i="1"/>
  <c r="E23" i="1" s="1"/>
  <c r="E29" i="1" s="1"/>
  <c r="O15" i="1"/>
  <c r="N15" i="1"/>
  <c r="M15" i="1"/>
  <c r="K15" i="1"/>
  <c r="J15" i="1"/>
  <c r="H15" i="1"/>
  <c r="F15" i="1"/>
  <c r="E15" i="1"/>
  <c r="F19" i="1" s="1"/>
  <c r="F23" i="1" s="1"/>
  <c r="F29" i="1" s="1"/>
  <c r="D15" i="1"/>
  <c r="B15" i="1"/>
</calcChain>
</file>

<file path=xl/sharedStrings.xml><?xml version="1.0" encoding="utf-8"?>
<sst xmlns="http://schemas.openxmlformats.org/spreadsheetml/2006/main" count="78" uniqueCount="51">
  <si>
    <t>Name</t>
  </si>
  <si>
    <t>Sudhir Kunnure</t>
  </si>
  <si>
    <t>City</t>
  </si>
  <si>
    <t>Pune</t>
  </si>
  <si>
    <t>Credit Card Due</t>
  </si>
  <si>
    <t>Personal Loan</t>
  </si>
  <si>
    <t>Date of Pyament</t>
  </si>
  <si>
    <t>Home Loans</t>
  </si>
  <si>
    <t>Due</t>
  </si>
  <si>
    <t>OutStanding</t>
  </si>
  <si>
    <t>EMI</t>
  </si>
  <si>
    <t>Outstanding</t>
  </si>
  <si>
    <t>HDFC</t>
  </si>
  <si>
    <t>Bajaj</t>
  </si>
  <si>
    <t>2nd</t>
  </si>
  <si>
    <t>SBI New</t>
  </si>
  <si>
    <t>HSBC</t>
  </si>
  <si>
    <t>Tata Capital</t>
  </si>
  <si>
    <t>3rd</t>
  </si>
  <si>
    <t>SBI OLD</t>
  </si>
  <si>
    <t>TATA SBI</t>
  </si>
  <si>
    <t>ABCD</t>
  </si>
  <si>
    <t>5th</t>
  </si>
  <si>
    <t>Indusland</t>
  </si>
  <si>
    <t>Poonawala</t>
  </si>
  <si>
    <t>indusland 1</t>
  </si>
  <si>
    <t>Hero Corp</t>
  </si>
  <si>
    <t>Axis</t>
  </si>
  <si>
    <t>CRED</t>
  </si>
  <si>
    <t>Amex</t>
  </si>
  <si>
    <t>Cars24</t>
  </si>
  <si>
    <t>RBL</t>
  </si>
  <si>
    <t>Total</t>
  </si>
  <si>
    <t>Assets</t>
  </si>
  <si>
    <t>Value</t>
  </si>
  <si>
    <t>Old Home</t>
  </si>
  <si>
    <t>Personal Loan Due</t>
  </si>
  <si>
    <t>New Home</t>
  </si>
  <si>
    <t>New Home EMI</t>
  </si>
  <si>
    <t>Home Loan Due</t>
  </si>
  <si>
    <t>Car</t>
  </si>
  <si>
    <t>Bajaj EMI</t>
  </si>
  <si>
    <t>Shitati Home</t>
  </si>
  <si>
    <t>Car EMI</t>
  </si>
  <si>
    <t>Total Due</t>
  </si>
  <si>
    <t>balance</t>
  </si>
  <si>
    <t>Balance</t>
  </si>
  <si>
    <t>Credit card</t>
  </si>
  <si>
    <t>Pwersonl Loan</t>
  </si>
  <si>
    <t xml:space="preserve">New Home </t>
  </si>
  <si>
    <t>Home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</si>
</sst>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.00;[Red]&quot;₹&quot;\ #,##0.0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18"/>
      <color theme="9"/>
      <name val="Aptos Narrow"/>
      <family val="2"/>
      <scheme val="minor"/>
    </font>
    <font>
      <b/>
      <sz val="20"/>
      <color theme="9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2" borderId="1" xfId="0" applyFill="1" applyBorder="1"/>
    <xf numFmtId="0" fontId="4" fillId="2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164" fontId="7" fillId="0" borderId="1" xfId="0" applyNumberFormat="1" applyFont="1" applyBorder="1"/>
    <xf numFmtId="165" fontId="7" fillId="0" borderId="1" xfId="0" applyNumberFormat="1" applyFont="1" applyBorder="1"/>
    <xf numFmtId="165" fontId="8" fillId="0" borderId="1" xfId="0" applyNumberFormat="1" applyFont="1" applyBorder="1"/>
    <xf numFmtId="165" fontId="9" fillId="0" borderId="1" xfId="0" applyNumberFormat="1" applyFont="1" applyBorder="1"/>
    <xf numFmtId="0" fontId="7" fillId="0" borderId="1" xfId="0" applyFont="1" applyBorder="1"/>
    <xf numFmtId="0" fontId="10" fillId="0" borderId="1" xfId="0" applyFont="1" applyBorder="1"/>
    <xf numFmtId="165" fontId="10" fillId="0" borderId="1" xfId="0" applyNumberFormat="1" applyFont="1" applyBorder="1"/>
    <xf numFmtId="164" fontId="10" fillId="0" borderId="1" xfId="0" applyNumberFormat="1" applyFont="1" applyBorder="1"/>
    <xf numFmtId="164" fontId="11" fillId="0" borderId="1" xfId="0" applyNumberFormat="1" applyFont="1" applyBorder="1"/>
    <xf numFmtId="0" fontId="1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0D9D8-61BD-416C-91D6-D000CAE6C2AF}">
  <dimension ref="A1:P45"/>
  <sheetViews>
    <sheetView tabSelected="1" topLeftCell="D1" workbookViewId="0">
      <selection activeCell="D9" sqref="D9"/>
    </sheetView>
  </sheetViews>
  <sheetFormatPr defaultRowHeight="14.5" x14ac:dyDescent="0.35"/>
  <cols>
    <col min="3" max="3" width="18" bestFit="1" customWidth="1"/>
    <col min="4" max="4" width="15.90625" bestFit="1" customWidth="1"/>
    <col min="5" max="5" width="21.7265625" bestFit="1" customWidth="1"/>
    <col min="7" max="7" width="15.90625" bestFit="1" customWidth="1"/>
    <col min="9" max="9" width="18.453125" bestFit="1" customWidth="1"/>
    <col min="10" max="10" width="12.453125" bestFit="1" customWidth="1"/>
    <col min="12" max="12" width="21.453125" bestFit="1" customWidth="1"/>
    <col min="14" max="14" width="12.6328125" bestFit="1" customWidth="1"/>
  </cols>
  <sheetData>
    <row r="1" spans="1:16" x14ac:dyDescent="0.35">
      <c r="A1" s="1"/>
      <c r="B1" s="1"/>
      <c r="C1" s="1"/>
      <c r="D1" s="1" t="s">
        <v>0</v>
      </c>
      <c r="E1" s="1" t="s">
        <v>1</v>
      </c>
      <c r="F1" s="1" t="s">
        <v>2</v>
      </c>
      <c r="G1" s="1" t="s">
        <v>3</v>
      </c>
      <c r="H1" s="1"/>
      <c r="I1" s="1"/>
      <c r="J1" s="1"/>
      <c r="K1" s="1"/>
      <c r="L1" s="1"/>
      <c r="M1" s="1"/>
      <c r="N1" s="1"/>
      <c r="O1" s="1"/>
      <c r="P1" s="1"/>
    </row>
    <row r="2" spans="1:1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8.5" x14ac:dyDescent="0.45">
      <c r="A3" s="2"/>
      <c r="B3" s="2"/>
      <c r="C3" s="2" t="s">
        <v>4</v>
      </c>
      <c r="D3" s="2"/>
      <c r="E3" s="2"/>
      <c r="F3" s="2"/>
      <c r="G3" s="2" t="s">
        <v>5</v>
      </c>
      <c r="H3" s="2"/>
      <c r="I3" s="2" t="s">
        <v>6</v>
      </c>
      <c r="J3" s="2"/>
      <c r="K3" s="2"/>
      <c r="L3" s="2" t="s">
        <v>7</v>
      </c>
      <c r="M3" s="2"/>
      <c r="N3" s="2"/>
      <c r="O3" s="1"/>
      <c r="P3" s="1"/>
    </row>
    <row r="4" spans="1:16" x14ac:dyDescent="0.35">
      <c r="A4" s="1"/>
      <c r="B4" s="1"/>
      <c r="C4" s="1"/>
      <c r="D4" s="3" t="s">
        <v>8</v>
      </c>
      <c r="E4" s="3" t="s">
        <v>9</v>
      </c>
      <c r="F4" s="3"/>
      <c r="G4" s="3"/>
      <c r="H4" s="3" t="s">
        <v>10</v>
      </c>
      <c r="I4" s="3"/>
      <c r="J4" s="3" t="s">
        <v>11</v>
      </c>
      <c r="K4" s="3"/>
      <c r="L4" s="3"/>
      <c r="M4" s="3" t="s">
        <v>10</v>
      </c>
      <c r="N4" s="3" t="s">
        <v>11</v>
      </c>
      <c r="O4" s="1"/>
      <c r="P4" s="1"/>
    </row>
    <row r="5" spans="1:16" ht="23.5" x14ac:dyDescent="0.55000000000000004">
      <c r="A5" s="1"/>
      <c r="B5" s="1">
        <v>1</v>
      </c>
      <c r="C5" s="1" t="s">
        <v>12</v>
      </c>
      <c r="D5" s="1">
        <v>22000</v>
      </c>
      <c r="E5" s="1">
        <v>410743</v>
      </c>
      <c r="F5" s="1">
        <v>1</v>
      </c>
      <c r="G5" s="1" t="s">
        <v>13</v>
      </c>
      <c r="H5" s="1">
        <v>36942</v>
      </c>
      <c r="I5" s="4" t="s">
        <v>14</v>
      </c>
      <c r="J5" s="1">
        <v>3163000</v>
      </c>
      <c r="K5" s="1">
        <v>1</v>
      </c>
      <c r="L5" s="1" t="s">
        <v>15</v>
      </c>
      <c r="M5" s="1">
        <v>121116</v>
      </c>
      <c r="N5" s="1">
        <v>12603731</v>
      </c>
      <c r="O5" s="1">
        <v>2500000</v>
      </c>
      <c r="P5" s="1"/>
    </row>
    <row r="6" spans="1:16" ht="23.5" x14ac:dyDescent="0.55000000000000004">
      <c r="A6" s="1"/>
      <c r="B6" s="1">
        <v>2</v>
      </c>
      <c r="C6" s="1" t="s">
        <v>16</v>
      </c>
      <c r="D6" s="1">
        <v>21000</v>
      </c>
      <c r="E6" s="1">
        <v>391435</v>
      </c>
      <c r="F6" s="1">
        <v>2</v>
      </c>
      <c r="G6" s="1" t="s">
        <v>17</v>
      </c>
      <c r="H6" s="1">
        <v>34279</v>
      </c>
      <c r="I6" s="4" t="s">
        <v>18</v>
      </c>
      <c r="J6" s="1">
        <v>1203754</v>
      </c>
      <c r="K6" s="1">
        <v>2</v>
      </c>
      <c r="L6" s="1" t="s">
        <v>19</v>
      </c>
      <c r="M6" s="1">
        <v>35000</v>
      </c>
      <c r="N6" s="1">
        <v>2825704</v>
      </c>
      <c r="O6" s="1">
        <v>2800000</v>
      </c>
      <c r="P6" s="1"/>
    </row>
    <row r="7" spans="1:16" ht="23.5" x14ac:dyDescent="0.55000000000000004">
      <c r="A7" s="1"/>
      <c r="B7" s="1">
        <v>3</v>
      </c>
      <c r="C7" s="1" t="s">
        <v>20</v>
      </c>
      <c r="D7" s="1">
        <v>26416</v>
      </c>
      <c r="E7" s="1">
        <v>419176</v>
      </c>
      <c r="F7" s="1">
        <v>3</v>
      </c>
      <c r="G7" s="1" t="s">
        <v>21</v>
      </c>
      <c r="H7" s="5">
        <v>13411</v>
      </c>
      <c r="I7" s="6" t="s">
        <v>22</v>
      </c>
      <c r="J7" s="5">
        <v>388374</v>
      </c>
      <c r="K7" s="1"/>
      <c r="L7" s="1"/>
      <c r="M7" s="1"/>
      <c r="N7" s="1"/>
      <c r="O7" s="1">
        <v>1203754</v>
      </c>
      <c r="P7" s="1"/>
    </row>
    <row r="8" spans="1:16" ht="23.5" x14ac:dyDescent="0.55000000000000004">
      <c r="A8" s="1"/>
      <c r="B8" s="1">
        <v>4</v>
      </c>
      <c r="C8" s="1" t="s">
        <v>23</v>
      </c>
      <c r="D8" s="1">
        <v>13685</v>
      </c>
      <c r="E8" s="1">
        <v>347332</v>
      </c>
      <c r="F8" s="1">
        <v>4</v>
      </c>
      <c r="G8" s="1" t="s">
        <v>24</v>
      </c>
      <c r="H8" s="1">
        <v>17150</v>
      </c>
      <c r="I8" s="4" t="s">
        <v>22</v>
      </c>
      <c r="J8" s="1">
        <v>370408</v>
      </c>
      <c r="K8" s="1"/>
      <c r="L8" s="1"/>
      <c r="M8" s="1"/>
      <c r="N8" s="1"/>
      <c r="O8" s="5">
        <v>0</v>
      </c>
      <c r="P8" s="1"/>
    </row>
    <row r="9" spans="1:16" ht="23.5" x14ac:dyDescent="0.55000000000000004">
      <c r="A9" s="1"/>
      <c r="B9" s="1">
        <v>5</v>
      </c>
      <c r="C9" s="1" t="s">
        <v>25</v>
      </c>
      <c r="D9" s="1">
        <v>40000</v>
      </c>
      <c r="E9" s="1">
        <v>95797</v>
      </c>
      <c r="F9" s="1">
        <v>5</v>
      </c>
      <c r="G9" s="1" t="s">
        <v>26</v>
      </c>
      <c r="H9" s="1">
        <v>15966</v>
      </c>
      <c r="I9" s="4" t="s">
        <v>18</v>
      </c>
      <c r="J9" s="1">
        <v>457717</v>
      </c>
      <c r="K9" s="1"/>
      <c r="L9" s="1"/>
      <c r="M9" s="1"/>
      <c r="N9" s="1"/>
      <c r="O9" s="1">
        <v>370408</v>
      </c>
      <c r="P9" s="1"/>
    </row>
    <row r="10" spans="1:16" ht="23.5" x14ac:dyDescent="0.55000000000000004">
      <c r="A10" s="1"/>
      <c r="B10" s="1">
        <v>6</v>
      </c>
      <c r="C10" s="1" t="s">
        <v>27</v>
      </c>
      <c r="D10" s="1">
        <v>3484</v>
      </c>
      <c r="E10" s="1">
        <v>151703</v>
      </c>
      <c r="F10" s="1">
        <v>6</v>
      </c>
      <c r="G10" s="1" t="s">
        <v>28</v>
      </c>
      <c r="H10" s="1">
        <v>14291</v>
      </c>
      <c r="I10" s="4" t="s">
        <v>18</v>
      </c>
      <c r="J10" s="1">
        <v>665253</v>
      </c>
      <c r="K10" s="1"/>
      <c r="L10" s="1"/>
      <c r="M10" s="1"/>
      <c r="N10" s="1"/>
      <c r="O10" s="1">
        <v>0</v>
      </c>
      <c r="P10" s="1"/>
    </row>
    <row r="11" spans="1:16" ht="23.5" x14ac:dyDescent="0.55000000000000004">
      <c r="A11" s="1"/>
      <c r="B11" s="1">
        <v>7</v>
      </c>
      <c r="C11" s="1" t="s">
        <v>29</v>
      </c>
      <c r="D11" s="1">
        <v>0</v>
      </c>
      <c r="E11" s="1">
        <v>460000</v>
      </c>
      <c r="F11" s="1">
        <v>7</v>
      </c>
      <c r="G11" s="1" t="s">
        <v>30</v>
      </c>
      <c r="H11" s="1">
        <v>14391</v>
      </c>
      <c r="I11" s="4" t="s">
        <v>14</v>
      </c>
      <c r="J11" s="1">
        <v>630387</v>
      </c>
      <c r="K11" s="1"/>
      <c r="L11" s="1"/>
      <c r="M11" s="1"/>
      <c r="N11" s="1"/>
      <c r="O11" s="1"/>
      <c r="P11" s="1"/>
    </row>
    <row r="12" spans="1:16" x14ac:dyDescent="0.35">
      <c r="A12" s="1"/>
      <c r="B12" s="1">
        <v>8</v>
      </c>
      <c r="C12" s="1" t="s">
        <v>31</v>
      </c>
      <c r="D12" s="1">
        <v>15000</v>
      </c>
      <c r="E12" s="1">
        <v>149495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1" x14ac:dyDescent="0.5">
      <c r="A15" s="7" t="s">
        <v>32</v>
      </c>
      <c r="B15" s="7">
        <f>COUNT(B5:B12)</f>
        <v>8</v>
      </c>
      <c r="C15" s="7"/>
      <c r="D15" s="7">
        <f>SUM(D5:D14)</f>
        <v>141585</v>
      </c>
      <c r="E15" s="7">
        <f>SUM(E5:E14)</f>
        <v>2425681</v>
      </c>
      <c r="F15" s="7">
        <f>COUNT(F5:F12)</f>
        <v>7</v>
      </c>
      <c r="G15" s="7"/>
      <c r="H15" s="7">
        <f>SUM(H5:H12)</f>
        <v>146430</v>
      </c>
      <c r="I15" s="7"/>
      <c r="J15" s="7">
        <f>SUM(J5:J12)</f>
        <v>6878893</v>
      </c>
      <c r="K15" s="7">
        <f>COUNT(K5:K12)</f>
        <v>2</v>
      </c>
      <c r="L15" s="7"/>
      <c r="M15" s="7">
        <f>SUM(M5:M12)</f>
        <v>156116</v>
      </c>
      <c r="N15" s="7">
        <f>SUM(N5:N14)</f>
        <v>15429435</v>
      </c>
      <c r="O15" s="8">
        <f>SUM(O5:O14)</f>
        <v>6874162</v>
      </c>
      <c r="P15" s="8"/>
    </row>
    <row r="16" spans="1:16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5">
      <c r="A18" s="1"/>
      <c r="B18" s="1"/>
      <c r="C18" s="1"/>
      <c r="D18" s="1"/>
      <c r="E18" s="1" t="s">
        <v>10</v>
      </c>
      <c r="F18" s="1" t="s">
        <v>9</v>
      </c>
      <c r="G18" s="1" t="s">
        <v>33</v>
      </c>
      <c r="H18" s="1" t="s">
        <v>34</v>
      </c>
      <c r="I18" s="1"/>
      <c r="J18" s="1"/>
      <c r="K18" s="1"/>
      <c r="L18" s="1"/>
      <c r="M18" s="1"/>
      <c r="N18" s="1"/>
      <c r="O18" s="1"/>
      <c r="P18" s="1"/>
    </row>
    <row r="19" spans="1:16" x14ac:dyDescent="0.35">
      <c r="A19" s="1"/>
      <c r="B19" s="1"/>
      <c r="C19" s="1"/>
      <c r="D19" s="1" t="s">
        <v>4</v>
      </c>
      <c r="E19" s="1">
        <v>441585</v>
      </c>
      <c r="F19" s="1">
        <f>E15</f>
        <v>2425681</v>
      </c>
      <c r="G19" s="1" t="s">
        <v>35</v>
      </c>
      <c r="H19" s="1">
        <v>8000000</v>
      </c>
      <c r="I19" s="1"/>
      <c r="J19" s="1"/>
      <c r="K19" s="1"/>
      <c r="L19" s="1"/>
      <c r="M19" s="1"/>
      <c r="N19" s="1"/>
      <c r="O19" s="1"/>
      <c r="P19" s="1"/>
    </row>
    <row r="20" spans="1:16" ht="26" x14ac:dyDescent="0.6">
      <c r="A20" s="1"/>
      <c r="B20" s="1"/>
      <c r="C20" s="1"/>
      <c r="D20" s="1" t="s">
        <v>36</v>
      </c>
      <c r="E20" s="1">
        <f>H15</f>
        <v>146430</v>
      </c>
      <c r="F20" s="1">
        <f>J15</f>
        <v>6878893</v>
      </c>
      <c r="G20" s="1" t="s">
        <v>37</v>
      </c>
      <c r="H20" s="1">
        <v>21500000</v>
      </c>
      <c r="I20" s="1"/>
      <c r="J20" s="1"/>
      <c r="K20" s="1" t="s">
        <v>38</v>
      </c>
      <c r="L20" s="9">
        <v>121116</v>
      </c>
      <c r="M20" s="1"/>
      <c r="N20" s="1"/>
      <c r="O20" s="1"/>
      <c r="P20" s="1"/>
    </row>
    <row r="21" spans="1:16" ht="26" x14ac:dyDescent="0.6">
      <c r="A21" s="1"/>
      <c r="B21" s="1"/>
      <c r="C21" s="1"/>
      <c r="D21" s="1" t="s">
        <v>39</v>
      </c>
      <c r="E21" s="1">
        <f>M15</f>
        <v>156116</v>
      </c>
      <c r="F21" s="1">
        <f>N15</f>
        <v>15429435</v>
      </c>
      <c r="G21" s="1" t="s">
        <v>40</v>
      </c>
      <c r="H21" s="1">
        <v>600000</v>
      </c>
      <c r="I21" s="1"/>
      <c r="J21" s="1"/>
      <c r="K21" s="1" t="s">
        <v>41</v>
      </c>
      <c r="L21" s="9">
        <v>37000</v>
      </c>
      <c r="M21" s="1"/>
      <c r="N21" s="1"/>
      <c r="O21" s="1"/>
      <c r="P21" s="1"/>
    </row>
    <row r="22" spans="1:16" ht="26" x14ac:dyDescent="0.6">
      <c r="A22" s="1"/>
      <c r="B22" s="1"/>
      <c r="C22" s="1"/>
      <c r="D22" s="1"/>
      <c r="E22" s="1"/>
      <c r="F22" s="1"/>
      <c r="G22" s="1" t="s">
        <v>42</v>
      </c>
      <c r="H22" s="1">
        <v>1500000</v>
      </c>
      <c r="I22" s="1"/>
      <c r="J22" s="1"/>
      <c r="K22" s="1" t="s">
        <v>43</v>
      </c>
      <c r="L22" s="9">
        <v>14391</v>
      </c>
      <c r="M22" s="1"/>
      <c r="N22" s="1"/>
      <c r="O22" s="1"/>
      <c r="P22" s="1"/>
    </row>
    <row r="23" spans="1:16" ht="26" x14ac:dyDescent="0.6">
      <c r="A23" s="1"/>
      <c r="B23" s="1"/>
      <c r="C23" s="1"/>
      <c r="D23" s="1" t="s">
        <v>44</v>
      </c>
      <c r="E23" s="10">
        <f>SUM(E19:E22)</f>
        <v>744131</v>
      </c>
      <c r="F23" s="10">
        <f>SUM(F19:F22)</f>
        <v>24734009</v>
      </c>
      <c r="G23" s="11"/>
      <c r="H23" s="12">
        <f>SUM(H19:H22)</f>
        <v>31600000</v>
      </c>
      <c r="I23" s="12"/>
      <c r="J23" s="1"/>
      <c r="K23" s="1" t="s">
        <v>28</v>
      </c>
      <c r="L23" s="9">
        <v>14291</v>
      </c>
      <c r="M23" s="1"/>
      <c r="N23" s="1"/>
      <c r="O23" s="1"/>
      <c r="P23" s="1"/>
    </row>
    <row r="24" spans="1:16" ht="26" x14ac:dyDescent="0.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3"/>
      <c r="M24" s="1"/>
      <c r="N24" s="1"/>
      <c r="O24" s="1"/>
      <c r="P24" s="1"/>
    </row>
    <row r="25" spans="1:16" ht="26" x14ac:dyDescent="0.6">
      <c r="A25" s="1"/>
      <c r="B25" s="1"/>
      <c r="C25" s="1"/>
      <c r="D25" s="14" t="s">
        <v>45</v>
      </c>
      <c r="E25" s="15">
        <v>725000</v>
      </c>
      <c r="F25" s="1"/>
      <c r="G25" s="1"/>
      <c r="H25" s="9">
        <f>E25-L25</f>
        <v>538202</v>
      </c>
      <c r="I25" s="9"/>
      <c r="J25" s="1"/>
      <c r="K25" s="1"/>
      <c r="L25" s="9">
        <f>SUM(L20:L24)</f>
        <v>186798</v>
      </c>
      <c r="M25" s="1"/>
      <c r="N25" s="1"/>
      <c r="O25" s="1"/>
      <c r="P25" s="1"/>
    </row>
    <row r="26" spans="1:16" ht="26" x14ac:dyDescent="0.6">
      <c r="A26" s="1"/>
      <c r="B26" s="1"/>
      <c r="C26" s="1"/>
      <c r="D26" s="1"/>
      <c r="E26" s="16"/>
      <c r="F26" s="1"/>
      <c r="G26" s="1"/>
      <c r="H26" s="1"/>
      <c r="I26" s="1"/>
      <c r="J26" s="1"/>
      <c r="K26" s="1"/>
      <c r="L26" s="13"/>
      <c r="M26" s="1"/>
      <c r="N26" s="1"/>
      <c r="O26" s="1"/>
      <c r="P26" s="1"/>
    </row>
    <row r="27" spans="1:16" ht="26" x14ac:dyDescent="0.6">
      <c r="A27" s="1"/>
      <c r="B27" s="1"/>
      <c r="C27" s="1"/>
      <c r="D27" s="1"/>
      <c r="E27" s="16"/>
      <c r="F27" s="1"/>
      <c r="G27" s="1"/>
      <c r="H27" s="1"/>
      <c r="I27" s="1"/>
      <c r="J27" s="1"/>
      <c r="K27" s="1"/>
      <c r="L27" s="13"/>
      <c r="M27" s="1"/>
      <c r="N27" s="1"/>
      <c r="O27" s="1"/>
      <c r="P27" s="1"/>
    </row>
    <row r="28" spans="1:16" ht="26" x14ac:dyDescent="0.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3"/>
      <c r="M28" s="1"/>
      <c r="N28" s="1"/>
      <c r="O28" s="1"/>
      <c r="P28" s="1"/>
    </row>
    <row r="29" spans="1:16" ht="28.5" x14ac:dyDescent="0.65">
      <c r="A29" s="1"/>
      <c r="B29" s="1"/>
      <c r="C29" s="1"/>
      <c r="D29" s="1" t="s">
        <v>46</v>
      </c>
      <c r="E29" s="17">
        <f>E25-E23</f>
        <v>-19131</v>
      </c>
      <c r="F29" s="12">
        <f>H23-F23</f>
        <v>6865991</v>
      </c>
      <c r="G29" s="1"/>
      <c r="H29" s="1"/>
      <c r="I29" s="1"/>
      <c r="J29" s="1"/>
      <c r="K29" s="1"/>
      <c r="L29" s="13"/>
      <c r="M29" s="1"/>
      <c r="N29" s="1"/>
      <c r="O29" s="1"/>
      <c r="P29" s="1"/>
    </row>
    <row r="30" spans="1:16" ht="26" x14ac:dyDescent="0.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3"/>
      <c r="M30" s="1"/>
      <c r="N30" s="1"/>
      <c r="O30" s="1"/>
      <c r="P30" s="1"/>
    </row>
    <row r="31" spans="1:16" ht="28.5" x14ac:dyDescent="0.65">
      <c r="A31" s="1"/>
      <c r="B31" s="1"/>
      <c r="C31" s="1"/>
      <c r="D31" s="1"/>
      <c r="E31" s="1"/>
      <c r="F31" s="1"/>
      <c r="G31" s="1"/>
      <c r="H31" s="17"/>
      <c r="I31" s="17"/>
      <c r="J31" s="1"/>
      <c r="K31" s="1"/>
      <c r="L31" s="9">
        <f>SUM(L20:L30)</f>
        <v>373596</v>
      </c>
      <c r="M31" s="1"/>
      <c r="N31" s="1"/>
      <c r="O31" s="1"/>
      <c r="P31" s="1"/>
    </row>
    <row r="32" spans="1:16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8.5" x14ac:dyDescent="0.45">
      <c r="A34" s="1"/>
      <c r="B34" s="1"/>
      <c r="C34" s="1"/>
      <c r="D34" s="1"/>
      <c r="E34" s="1"/>
      <c r="F34" s="1"/>
      <c r="G34" s="18" t="s">
        <v>47</v>
      </c>
      <c r="H34" s="18" t="s">
        <v>9</v>
      </c>
      <c r="I34" s="18"/>
      <c r="J34" s="1" t="s">
        <v>48</v>
      </c>
      <c r="K34" s="1" t="s">
        <v>9</v>
      </c>
      <c r="L34" s="1"/>
      <c r="M34" s="1"/>
      <c r="N34" s="1"/>
      <c r="O34" s="1"/>
      <c r="P34" s="1"/>
    </row>
    <row r="35" spans="1:16" x14ac:dyDescent="0.35">
      <c r="A35" s="1"/>
      <c r="B35" s="1"/>
      <c r="C35" s="1"/>
      <c r="D35" s="1"/>
      <c r="E35" s="1"/>
      <c r="F35" s="1"/>
      <c r="G35" s="19" t="s">
        <v>12</v>
      </c>
      <c r="H35" s="1">
        <v>410743</v>
      </c>
      <c r="I35" s="1"/>
      <c r="J35" s="19" t="s">
        <v>17</v>
      </c>
      <c r="K35" s="1">
        <v>1203754</v>
      </c>
      <c r="L35" s="19" t="s">
        <v>49</v>
      </c>
      <c r="M35" s="1">
        <v>12500000</v>
      </c>
      <c r="N35" s="1"/>
      <c r="O35" s="1"/>
      <c r="P35" s="1"/>
    </row>
    <row r="36" spans="1:16" x14ac:dyDescent="0.35">
      <c r="A36" s="1"/>
      <c r="B36" s="1"/>
      <c r="C36" s="1"/>
      <c r="D36" s="1"/>
      <c r="E36" s="1"/>
      <c r="F36" s="1"/>
      <c r="G36" s="19" t="s">
        <v>16</v>
      </c>
      <c r="H36" s="1">
        <v>385669</v>
      </c>
      <c r="I36" s="1"/>
      <c r="J36" s="19" t="s">
        <v>21</v>
      </c>
      <c r="K36" s="5">
        <v>388374</v>
      </c>
      <c r="L36" s="1"/>
      <c r="M36" s="1"/>
      <c r="N36" s="1"/>
      <c r="O36" s="1"/>
      <c r="P36" s="1"/>
    </row>
    <row r="37" spans="1:16" x14ac:dyDescent="0.35">
      <c r="A37" s="1"/>
      <c r="B37" s="1"/>
      <c r="C37" s="1"/>
      <c r="D37" s="1"/>
      <c r="E37" s="1"/>
      <c r="F37" s="1"/>
      <c r="G37" s="19" t="s">
        <v>20</v>
      </c>
      <c r="H37" s="1">
        <v>420086</v>
      </c>
      <c r="I37" s="1"/>
      <c r="J37" s="19" t="s">
        <v>24</v>
      </c>
      <c r="K37" s="1">
        <v>370408</v>
      </c>
      <c r="L37" s="19" t="s">
        <v>50</v>
      </c>
      <c r="M37" s="1">
        <v>2812000</v>
      </c>
      <c r="N37" s="1"/>
      <c r="O37" s="1"/>
      <c r="P37" s="1"/>
    </row>
    <row r="38" spans="1:16" x14ac:dyDescent="0.35">
      <c r="A38" s="1"/>
      <c r="B38" s="1"/>
      <c r="C38" s="1"/>
      <c r="D38" s="1"/>
      <c r="E38" s="1"/>
      <c r="F38" s="1"/>
      <c r="G38" s="19" t="s">
        <v>23</v>
      </c>
      <c r="H38" s="1">
        <v>361018</v>
      </c>
      <c r="I38" s="1"/>
      <c r="J38" s="19" t="s">
        <v>26</v>
      </c>
      <c r="K38" s="1">
        <v>457717</v>
      </c>
      <c r="L38" s="1"/>
      <c r="M38" s="1"/>
      <c r="N38" s="1"/>
      <c r="O38" s="1"/>
      <c r="P38" s="1"/>
    </row>
    <row r="39" spans="1:16" x14ac:dyDescent="0.35">
      <c r="A39" s="1"/>
      <c r="B39" s="1"/>
      <c r="C39" s="1"/>
      <c r="D39" s="1"/>
      <c r="E39" s="1"/>
      <c r="F39" s="1"/>
      <c r="G39" s="19" t="s">
        <v>25</v>
      </c>
      <c r="H39" s="1">
        <v>95797</v>
      </c>
      <c r="I39" s="1"/>
      <c r="J39" s="19" t="s">
        <v>28</v>
      </c>
      <c r="K39" s="1">
        <v>665253</v>
      </c>
      <c r="L39" s="1"/>
      <c r="M39" s="1"/>
      <c r="N39" s="1"/>
      <c r="O39" s="1"/>
      <c r="P39" s="1"/>
    </row>
    <row r="40" spans="1:16" x14ac:dyDescent="0.35">
      <c r="A40" s="1"/>
      <c r="B40" s="1"/>
      <c r="C40" s="1"/>
      <c r="D40" s="1"/>
      <c r="E40" s="1"/>
      <c r="F40" s="1"/>
      <c r="G40" s="19" t="s">
        <v>27</v>
      </c>
      <c r="H40" s="1">
        <v>151703</v>
      </c>
      <c r="I40" s="1"/>
      <c r="J40" s="19" t="s">
        <v>30</v>
      </c>
      <c r="K40" s="1">
        <v>630387</v>
      </c>
      <c r="L40" s="1"/>
      <c r="M40" s="1"/>
      <c r="N40" s="1"/>
      <c r="O40" s="1"/>
      <c r="P40" s="1"/>
    </row>
    <row r="41" spans="1:16" x14ac:dyDescent="0.35">
      <c r="A41" s="1"/>
      <c r="B41" s="1"/>
      <c r="C41" s="1"/>
      <c r="D41" s="1"/>
      <c r="E41" s="1"/>
      <c r="F41" s="1"/>
      <c r="G41" s="19" t="s">
        <v>29</v>
      </c>
      <c r="H41" s="1">
        <v>200000</v>
      </c>
      <c r="I41" s="1"/>
      <c r="J41" s="19" t="s">
        <v>13</v>
      </c>
      <c r="K41" s="1">
        <v>3163000</v>
      </c>
      <c r="L41" s="1"/>
      <c r="M41" s="1"/>
      <c r="N41" s="1"/>
      <c r="O41" s="1"/>
      <c r="P41" s="1"/>
    </row>
    <row r="42" spans="1:16" x14ac:dyDescent="0.35">
      <c r="A42" s="1"/>
      <c r="B42" s="1"/>
      <c r="C42" s="1"/>
      <c r="D42" s="1"/>
      <c r="E42" s="1"/>
      <c r="F42" s="1"/>
      <c r="G42" s="19" t="s">
        <v>31</v>
      </c>
      <c r="H42" s="1">
        <v>150000</v>
      </c>
      <c r="I42" s="1"/>
      <c r="J42" s="1"/>
      <c r="K42" s="1"/>
      <c r="L42" s="1"/>
      <c r="M42" s="1"/>
      <c r="N42" s="1"/>
      <c r="O42" s="1"/>
      <c r="P42" s="1"/>
    </row>
    <row r="43" spans="1:16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5">
      <c r="A45" s="1"/>
      <c r="B45" s="1"/>
      <c r="C45" s="1"/>
      <c r="D45" s="1"/>
      <c r="E45" s="1"/>
      <c r="F45" s="1"/>
      <c r="G45" s="1"/>
      <c r="H45" s="1">
        <f>SUM(H35:H44)</f>
        <v>2175016</v>
      </c>
      <c r="I45" s="1"/>
      <c r="J45" s="1"/>
      <c r="K45" s="1">
        <f>SUM(K35:K44)</f>
        <v>6878893</v>
      </c>
      <c r="L45" s="1">
        <f>SUM(H45:K45)</f>
        <v>9053909</v>
      </c>
      <c r="M45" s="1">
        <f>SUM(M35:M44)</f>
        <v>15312000</v>
      </c>
      <c r="N45" s="1"/>
      <c r="O45" s="1"/>
      <c r="P45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Liabilities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Kunnure, Sudhir</dc:creator>
  <cp:lastModifiedBy>Kunnure, Sudhir</cp:lastModifiedBy>
  <dcterms:created xsi:type="dcterms:W3CDTF">2026-09-17T06:49:32Z</dcterms:created>
  <dcterms:modified xsi:type="dcterms:W3CDTF">2026-09-17T06:52:08Z</dcterms:modified>
</cp:coreProperties>
</file>