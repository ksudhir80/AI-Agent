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udhir_kunnure_capgemini_com/Documents/Desktop/"/>
    </mc:Choice>
  </mc:AlternateContent>
  <xr:revisionPtr revIDLastSave="0" documentId="8_{6786A852-E85E-4AED-BE1E-1C4877C0966B}" xr6:coauthVersionLast="47" xr6:coauthVersionMax="47" xr10:uidLastSave="{00000000-0000-0000-0000-000000000000}"/>
  <bookViews>
    <workbookView xWindow="-110" yWindow="-110" windowWidth="19420" windowHeight="11500" xr2:uid="{3D9BE010-C61B-42FD-9107-47AB445FDE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3" i="1" l="1"/>
  <c r="I12" i="1"/>
  <c r="H13" i="1"/>
  <c r="D12" i="1"/>
  <c r="G12" i="1"/>
  <c r="E13" i="1"/>
  <c r="B13" i="1"/>
  <c r="H4" i="1"/>
  <c r="H3" i="1"/>
</calcChain>
</file>

<file path=xl/sharedStrings.xml><?xml version="1.0" encoding="utf-8"?>
<sst xmlns="http://schemas.openxmlformats.org/spreadsheetml/2006/main" count="27" uniqueCount="25">
  <si>
    <t>Credit card</t>
  </si>
  <si>
    <t>Peersonl Loan</t>
  </si>
  <si>
    <t>Home Loans</t>
  </si>
  <si>
    <t>OutStanding</t>
  </si>
  <si>
    <t>EMI</t>
  </si>
  <si>
    <t>Outstanding</t>
  </si>
  <si>
    <t>HDFC</t>
  </si>
  <si>
    <t>Bajaj</t>
  </si>
  <si>
    <t>SBI New</t>
  </si>
  <si>
    <t>HSBC</t>
  </si>
  <si>
    <t>Tata Capital</t>
  </si>
  <si>
    <t>SBI OLD</t>
  </si>
  <si>
    <t>TATA SBI</t>
  </si>
  <si>
    <t>ABCD</t>
  </si>
  <si>
    <t>Indusland</t>
  </si>
  <si>
    <t>Poonawala</t>
  </si>
  <si>
    <t>indusland 1</t>
  </si>
  <si>
    <t>Hero Corp</t>
  </si>
  <si>
    <t>Axis</t>
  </si>
  <si>
    <t>CRED</t>
  </si>
  <si>
    <t>Amex</t>
  </si>
  <si>
    <t>Cars24</t>
  </si>
  <si>
    <t>RBL</t>
  </si>
  <si>
    <t>Total EMI</t>
  </si>
  <si>
    <t>Total Outstadning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</si>
</sst>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1" xfId="0" applyFont="1" applyBorder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DD42-0EFC-4130-A56C-C09F56CFE8E0}">
  <dimension ref="A1:I13"/>
  <sheetViews>
    <sheetView tabSelected="1" workbookViewId="0">
      <selection activeCell="E18" sqref="E18"/>
    </sheetView>
  </sheetViews>
  <sheetFormatPr defaultRowHeight="14.5" x14ac:dyDescent="0.35"/>
  <cols>
    <col min="1" max="1" width="15.1796875" bestFit="1" customWidth="1"/>
    <col min="2" max="2" width="10.26953125" bestFit="1" customWidth="1"/>
    <col min="3" max="3" width="12.453125" bestFit="1" customWidth="1"/>
    <col min="5" max="5" width="10.81640625" bestFit="1" customWidth="1"/>
    <col min="8" max="8" width="10.08984375" bestFit="1" customWidth="1"/>
    <col min="9" max="9" width="11.1796875" bestFit="1" customWidth="1"/>
  </cols>
  <sheetData>
    <row r="1" spans="1:9" ht="18.5" x14ac:dyDescent="0.45">
      <c r="A1" s="5" t="s">
        <v>0</v>
      </c>
      <c r="B1" s="5"/>
      <c r="C1" s="2" t="s">
        <v>1</v>
      </c>
      <c r="D1" s="5"/>
      <c r="E1" s="3"/>
      <c r="F1" s="6" t="s">
        <v>2</v>
      </c>
      <c r="G1" s="6"/>
      <c r="H1" s="6"/>
      <c r="I1" s="3"/>
    </row>
    <row r="2" spans="1:9" x14ac:dyDescent="0.35">
      <c r="A2" s="3"/>
      <c r="B2" s="1" t="s">
        <v>3</v>
      </c>
      <c r="C2" s="2"/>
      <c r="D2" s="3" t="s">
        <v>4</v>
      </c>
      <c r="E2" s="3" t="s">
        <v>3</v>
      </c>
      <c r="F2" s="1"/>
      <c r="G2" s="1" t="s">
        <v>4</v>
      </c>
      <c r="H2" s="1" t="s">
        <v>5</v>
      </c>
      <c r="I2" s="3"/>
    </row>
    <row r="3" spans="1:9" x14ac:dyDescent="0.35">
      <c r="A3" s="3" t="s">
        <v>6</v>
      </c>
      <c r="B3" s="3">
        <v>417944</v>
      </c>
      <c r="C3" s="3" t="s">
        <v>7</v>
      </c>
      <c r="D3" s="3">
        <v>35750</v>
      </c>
      <c r="E3" s="3">
        <v>3163000</v>
      </c>
      <c r="F3" s="3" t="s">
        <v>8</v>
      </c>
      <c r="G3" s="3">
        <v>121116</v>
      </c>
      <c r="H3" s="3">
        <f>12596872-121116</f>
        <v>12475756</v>
      </c>
      <c r="I3" s="3"/>
    </row>
    <row r="4" spans="1:9" x14ac:dyDescent="0.35">
      <c r="A4" s="3" t="s">
        <v>9</v>
      </c>
      <c r="B4" s="3">
        <v>386779</v>
      </c>
      <c r="C4" s="3" t="s">
        <v>10</v>
      </c>
      <c r="D4" s="3">
        <v>34279</v>
      </c>
      <c r="E4" s="3">
        <v>1165050</v>
      </c>
      <c r="F4" s="3" t="s">
        <v>11</v>
      </c>
      <c r="G4" s="3">
        <v>35000</v>
      </c>
      <c r="H4" s="3">
        <f>2820947-35000</f>
        <v>2785947</v>
      </c>
      <c r="I4" s="3"/>
    </row>
    <row r="5" spans="1:9" x14ac:dyDescent="0.35">
      <c r="A5" s="3" t="s">
        <v>12</v>
      </c>
      <c r="B5" s="3">
        <v>423551</v>
      </c>
      <c r="C5" s="3" t="s">
        <v>13</v>
      </c>
      <c r="D5" s="4">
        <v>13411</v>
      </c>
      <c r="E5" s="4">
        <v>369860</v>
      </c>
      <c r="F5" s="3"/>
      <c r="G5" s="3"/>
      <c r="H5" s="3"/>
      <c r="I5" s="3"/>
    </row>
    <row r="6" spans="1:9" x14ac:dyDescent="0.35">
      <c r="A6" s="3" t="s">
        <v>14</v>
      </c>
      <c r="B6" s="3">
        <v>355890</v>
      </c>
      <c r="C6" s="3" t="s">
        <v>15</v>
      </c>
      <c r="D6" s="3">
        <v>17150</v>
      </c>
      <c r="E6" s="3">
        <v>344754</v>
      </c>
      <c r="F6" s="3"/>
      <c r="G6" s="3"/>
      <c r="H6" s="3"/>
      <c r="I6" s="3"/>
    </row>
    <row r="7" spans="1:9" x14ac:dyDescent="0.35">
      <c r="A7" s="3" t="s">
        <v>16</v>
      </c>
      <c r="B7" s="3">
        <v>91408</v>
      </c>
      <c r="C7" s="3" t="s">
        <v>17</v>
      </c>
      <c r="D7" s="3">
        <v>15966</v>
      </c>
      <c r="E7" s="3">
        <v>443194</v>
      </c>
      <c r="F7" s="3"/>
      <c r="G7" s="3"/>
      <c r="H7" s="3"/>
      <c r="I7" s="3"/>
    </row>
    <row r="8" spans="1:9" x14ac:dyDescent="0.35">
      <c r="A8" s="3" t="s">
        <v>18</v>
      </c>
      <c r="B8" s="3">
        <v>150000</v>
      </c>
      <c r="C8" s="3" t="s">
        <v>19</v>
      </c>
      <c r="D8" s="3">
        <v>14291</v>
      </c>
      <c r="E8" s="3">
        <v>650483</v>
      </c>
      <c r="F8" s="3"/>
      <c r="G8" s="3"/>
      <c r="H8" s="3"/>
      <c r="I8" s="3"/>
    </row>
    <row r="9" spans="1:9" x14ac:dyDescent="0.35">
      <c r="A9" s="3" t="s">
        <v>20</v>
      </c>
      <c r="B9" s="3">
        <v>275000</v>
      </c>
      <c r="C9" s="3" t="s">
        <v>21</v>
      </c>
      <c r="D9" s="3">
        <v>14391</v>
      </c>
      <c r="E9" s="3">
        <v>615875</v>
      </c>
      <c r="F9" s="3"/>
      <c r="G9" s="3"/>
      <c r="H9" s="3"/>
      <c r="I9" s="3"/>
    </row>
    <row r="10" spans="1:9" x14ac:dyDescent="0.35">
      <c r="A10" s="3" t="s">
        <v>22</v>
      </c>
      <c r="B10" s="3">
        <v>156942</v>
      </c>
      <c r="C10" s="3"/>
      <c r="D10" s="3"/>
      <c r="E10" s="3"/>
      <c r="F10" s="3"/>
      <c r="G10" s="3"/>
      <c r="H10" s="3"/>
      <c r="I10" s="3"/>
    </row>
    <row r="11" spans="1:9" x14ac:dyDescent="0.35">
      <c r="A11" s="3"/>
      <c r="B11" s="3"/>
      <c r="C11" s="3"/>
      <c r="D11" s="3"/>
      <c r="E11" s="3"/>
      <c r="F11" s="3"/>
      <c r="G11" s="3"/>
      <c r="H11" s="3"/>
      <c r="I11" s="3"/>
    </row>
    <row r="12" spans="1:9" ht="18.5" x14ac:dyDescent="0.45">
      <c r="A12" s="2" t="s">
        <v>23</v>
      </c>
      <c r="B12" s="3"/>
      <c r="C12" s="2"/>
      <c r="D12" s="2">
        <f>SUM(D3:D11)</f>
        <v>145238</v>
      </c>
      <c r="E12" s="3"/>
      <c r="F12" s="2"/>
      <c r="G12" s="2">
        <f>SUM(G3:G11)</f>
        <v>156116</v>
      </c>
      <c r="H12" s="2"/>
      <c r="I12" s="5">
        <f>SUM(A12:H12)</f>
        <v>301354</v>
      </c>
    </row>
    <row r="13" spans="1:9" ht="18.5" x14ac:dyDescent="0.45">
      <c r="A13" s="7" t="s">
        <v>24</v>
      </c>
      <c r="B13" s="2">
        <f>SUM(B3:B11)</f>
        <v>2257514</v>
      </c>
      <c r="C13" s="3"/>
      <c r="D13" s="3"/>
      <c r="E13" s="2">
        <f>SUM(E3:E11)</f>
        <v>6752216</v>
      </c>
      <c r="F13" s="3"/>
      <c r="G13" s="3"/>
      <c r="H13" s="2">
        <f>SUM(H3:H12)</f>
        <v>15261703</v>
      </c>
      <c r="I13" s="5">
        <f>SUM(B13:H13)</f>
        <v>24271433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Kunnure, Sudhir</dc:creator>
  <cp:lastModifiedBy>Kunnure, Sudhir</cp:lastModifiedBy>
  <dcterms:created xsi:type="dcterms:W3CDTF">2026-10-14T14:18:26Z</dcterms:created>
  <dcterms:modified xsi:type="dcterms:W3CDTF">2026-10-14T14:21:07Z</dcterms:modified>
</cp:coreProperties>
</file>